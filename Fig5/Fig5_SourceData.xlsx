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a58c0f08af4ac1/Documents/Rscripts-MBPhD/MIDAS/PaperFigures/2025-11-ReviewUpdate/"/>
    </mc:Choice>
  </mc:AlternateContent>
  <xr:revisionPtr revIDLastSave="51" documentId="8_{24ED7352-A4F7-42F4-B47C-3F0BBCD16DD9}" xr6:coauthVersionLast="47" xr6:coauthVersionMax="47" xr10:uidLastSave="{46069B61-E470-427F-9E71-91CC87EE73EE}"/>
  <bookViews>
    <workbookView xWindow="-108" yWindow="-108" windowWidth="23256" windowHeight="13896" tabRatio="968" firstSheet="5" activeTab="12" xr2:uid="{524541DB-6674-B549-A626-D9FEE5965552}"/>
  </bookViews>
  <sheets>
    <sheet name="Fig5B_5D_Dysfunctional" sheetId="12" r:id="rId1"/>
    <sheet name="Fig5B_5D_Predysfunctional" sheetId="13" r:id="rId2"/>
    <sheet name="Fig5C_5E_GZMB_CD4_Teff" sheetId="1" r:id="rId3"/>
    <sheet name="Fig5C_5E_HLA-DR_CD4_Teff" sheetId="2" r:id="rId4"/>
    <sheet name="Fig5C_5E_Ki67_CD4_Teff" sheetId="3" r:id="rId5"/>
    <sheet name="Fig5C_5E_OX40_CD4_Teff" sheetId="4" r:id="rId6"/>
    <sheet name="Fig5C_5E_41BB_CD8_T" sheetId="5" r:id="rId7"/>
    <sheet name="Fig5C_5E_GZMB_CD8_T" sheetId="7" r:id="rId8"/>
    <sheet name="Fig5C_5E_HLA-DR_CD8_T" sheetId="8" r:id="rId9"/>
    <sheet name="Fig5C_5E_Ki67_CD8_T" sheetId="9" r:id="rId10"/>
    <sheet name="Fig5C_5E_OX40_CD8_T" sheetId="10" r:id="rId11"/>
    <sheet name="Fig5C_5E_PD1_CD8_T" sheetId="11" r:id="rId12"/>
    <sheet name="Fig5F" sheetId="1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5" l="1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</calcChain>
</file>

<file path=xl/sharedStrings.xml><?xml version="1.0" encoding="utf-8"?>
<sst xmlns="http://schemas.openxmlformats.org/spreadsheetml/2006/main" count="198" uniqueCount="31">
  <si>
    <t>UT</t>
  </si>
  <si>
    <t>PTPN-22i</t>
  </si>
  <si>
    <t>aOSM</t>
  </si>
  <si>
    <t>N/A</t>
  </si>
  <si>
    <t>p</t>
  </si>
  <si>
    <t>TRM001</t>
  </si>
  <si>
    <t>TRM002</t>
  </si>
  <si>
    <t>TRM003</t>
  </si>
  <si>
    <t>TRM004</t>
  </si>
  <si>
    <t>TRM005</t>
  </si>
  <si>
    <t>TRM006</t>
  </si>
  <si>
    <t>TRM007</t>
  </si>
  <si>
    <t>TRM008</t>
  </si>
  <si>
    <t>Sample</t>
  </si>
  <si>
    <t>CCL4</t>
  </si>
  <si>
    <t>MX437 DMSO</t>
  </si>
  <si>
    <t>MX437 OSM</t>
  </si>
  <si>
    <t>MX443 DMSO</t>
  </si>
  <si>
    <t>MX443 OSM</t>
  </si>
  <si>
    <t>MX450 DMSO</t>
  </si>
  <si>
    <t>MX450 OSM</t>
  </si>
  <si>
    <t>MX451 DMSO</t>
  </si>
  <si>
    <t>MX451 OSM</t>
  </si>
  <si>
    <t>MX452 DMSO</t>
  </si>
  <si>
    <t>MX452 OSM</t>
  </si>
  <si>
    <t>MX471 DMSO</t>
  </si>
  <si>
    <t>MX471 OSM</t>
  </si>
  <si>
    <t>MX456 DMSO</t>
  </si>
  <si>
    <t>MX456 OSM</t>
  </si>
  <si>
    <t>MX459 DMSO</t>
  </si>
  <si>
    <t>MX459 OSM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</si>
</sst>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4"/>
      <name val="Arial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0" fillId="0" borderId="3" xfId="0" applyBorder="1"/>
    <xf numFmtId="0" fontId="5" fillId="0" borderId="3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0F015-7906-7343-8CCE-13F83652665C}">
  <dimension ref="A1:D10"/>
  <sheetViews>
    <sheetView workbookViewId="0">
      <selection activeCell="D10" sqref="D10"/>
    </sheetView>
  </sheetViews>
  <sheetFormatPr defaultColWidth="11.19921875" defaultRowHeight="15.6" x14ac:dyDescent="0.3"/>
  <sheetData>
    <row r="1" spans="1:4" ht="17.399999999999999" x14ac:dyDescent="0.3">
      <c r="A1" s="2"/>
      <c r="B1" s="2" t="s">
        <v>0</v>
      </c>
      <c r="C1" s="2" t="s">
        <v>1</v>
      </c>
      <c r="D1" s="2" t="s">
        <v>2</v>
      </c>
    </row>
    <row r="2" spans="1:4" ht="17.399999999999999" x14ac:dyDescent="0.3">
      <c r="A2" s="3" t="s">
        <v>5</v>
      </c>
      <c r="B2" s="1">
        <v>83.3</v>
      </c>
      <c r="C2" s="1">
        <v>0</v>
      </c>
      <c r="D2" s="1">
        <v>0</v>
      </c>
    </row>
    <row r="3" spans="1:4" ht="17.399999999999999" x14ac:dyDescent="0.3">
      <c r="A3" s="3" t="s">
        <v>6</v>
      </c>
      <c r="B3" s="1">
        <v>73.099999999999994</v>
      </c>
      <c r="C3" s="1">
        <v>62.9</v>
      </c>
      <c r="D3" s="1">
        <v>47</v>
      </c>
    </row>
    <row r="4" spans="1:4" ht="17.399999999999999" x14ac:dyDescent="0.3">
      <c r="A4" s="3" t="s">
        <v>7</v>
      </c>
      <c r="B4" s="1">
        <v>19</v>
      </c>
      <c r="C4" s="1">
        <v>39.799999999999997</v>
      </c>
      <c r="D4" s="1">
        <v>13</v>
      </c>
    </row>
    <row r="5" spans="1:4" ht="17.399999999999999" x14ac:dyDescent="0.3">
      <c r="A5" s="3" t="s">
        <v>8</v>
      </c>
      <c r="B5" s="1">
        <v>98.4</v>
      </c>
      <c r="C5" s="1">
        <v>93</v>
      </c>
      <c r="D5" s="1">
        <v>95.4</v>
      </c>
    </row>
    <row r="6" spans="1:4" ht="17.399999999999999" x14ac:dyDescent="0.3">
      <c r="A6" s="3" t="s">
        <v>9</v>
      </c>
      <c r="B6" s="1">
        <v>89.4</v>
      </c>
      <c r="C6" s="1">
        <v>90.7</v>
      </c>
      <c r="D6" s="1">
        <v>82.6</v>
      </c>
    </row>
    <row r="7" spans="1:4" ht="17.399999999999999" x14ac:dyDescent="0.3">
      <c r="A7" s="3" t="s">
        <v>10</v>
      </c>
      <c r="B7" s="1">
        <v>59.9</v>
      </c>
      <c r="C7" s="1">
        <v>45.5</v>
      </c>
      <c r="D7" s="1">
        <v>57.7</v>
      </c>
    </row>
    <row r="8" spans="1:4" ht="17.399999999999999" x14ac:dyDescent="0.3">
      <c r="A8" s="3" t="s">
        <v>11</v>
      </c>
      <c r="B8" s="1">
        <v>1.08</v>
      </c>
      <c r="C8" s="1">
        <v>0.49</v>
      </c>
      <c r="D8" s="1">
        <v>0.84</v>
      </c>
    </row>
    <row r="9" spans="1:4" ht="17.399999999999999" x14ac:dyDescent="0.3">
      <c r="A9" s="3" t="s">
        <v>12</v>
      </c>
      <c r="B9" s="1">
        <v>23.1</v>
      </c>
      <c r="C9" s="1">
        <v>21.7</v>
      </c>
      <c r="D9" s="1">
        <v>15.6</v>
      </c>
    </row>
    <row r="10" spans="1:4" ht="17.399999999999999" x14ac:dyDescent="0.3">
      <c r="A10" s="3" t="s">
        <v>4</v>
      </c>
      <c r="C10" s="1">
        <v>0.25</v>
      </c>
      <c r="D10" s="1">
        <v>7.7999999999999996E-3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816A-5B9E-D448-9E5B-B76070242304}">
  <dimension ref="A1:D10"/>
  <sheetViews>
    <sheetView workbookViewId="0">
      <selection activeCell="D10" sqref="D10"/>
    </sheetView>
  </sheetViews>
  <sheetFormatPr defaultColWidth="11.19921875" defaultRowHeight="15.6" x14ac:dyDescent="0.3"/>
  <sheetData>
    <row r="1" spans="1:4" ht="17.399999999999999" x14ac:dyDescent="0.3">
      <c r="A1" s="2"/>
      <c r="B1" s="2" t="s">
        <v>0</v>
      </c>
      <c r="C1" s="2" t="s">
        <v>1</v>
      </c>
      <c r="D1" s="2" t="s">
        <v>2</v>
      </c>
    </row>
    <row r="2" spans="1:4" ht="17.399999999999999" x14ac:dyDescent="0.3">
      <c r="A2" s="3" t="s">
        <v>5</v>
      </c>
      <c r="B2" s="1">
        <v>0</v>
      </c>
      <c r="C2" s="1">
        <v>0</v>
      </c>
      <c r="D2" s="1">
        <v>0</v>
      </c>
    </row>
    <row r="3" spans="1:4" ht="17.399999999999999" x14ac:dyDescent="0.3">
      <c r="A3" s="3" t="s">
        <v>6</v>
      </c>
      <c r="B3" s="1">
        <v>17.2</v>
      </c>
      <c r="C3" s="1">
        <v>11.4</v>
      </c>
      <c r="D3" s="1">
        <v>27.3</v>
      </c>
    </row>
    <row r="4" spans="1:4" ht="17.399999999999999" x14ac:dyDescent="0.3">
      <c r="A4" s="3" t="s">
        <v>7</v>
      </c>
      <c r="B4" s="1">
        <v>1.46</v>
      </c>
      <c r="C4" s="1">
        <v>0.34</v>
      </c>
      <c r="D4" s="1">
        <v>3.28</v>
      </c>
    </row>
    <row r="5" spans="1:4" ht="17.399999999999999" x14ac:dyDescent="0.3">
      <c r="A5" s="3" t="s">
        <v>8</v>
      </c>
      <c r="B5" s="1">
        <v>0</v>
      </c>
      <c r="C5" s="1">
        <v>6.7000000000000004E-2</v>
      </c>
      <c r="D5" s="1">
        <v>4.7E-2</v>
      </c>
    </row>
    <row r="6" spans="1:4" ht="17.399999999999999" x14ac:dyDescent="0.3">
      <c r="A6" s="3" t="s">
        <v>9</v>
      </c>
      <c r="B6" s="1">
        <v>0.12</v>
      </c>
      <c r="C6" s="1">
        <v>4.3999999999999997E-2</v>
      </c>
      <c r="D6" s="1">
        <v>5.6000000000000001E-2</v>
      </c>
    </row>
    <row r="7" spans="1:4" ht="17.399999999999999" x14ac:dyDescent="0.3">
      <c r="A7" s="3" t="s">
        <v>10</v>
      </c>
      <c r="B7" s="1">
        <v>19.100000000000001</v>
      </c>
      <c r="C7" s="1">
        <v>15.9</v>
      </c>
      <c r="D7" s="1">
        <v>13</v>
      </c>
    </row>
    <row r="8" spans="1:4" ht="17.399999999999999" x14ac:dyDescent="0.3">
      <c r="A8" s="3" t="s">
        <v>11</v>
      </c>
      <c r="B8" s="1">
        <v>2.16</v>
      </c>
      <c r="C8" s="1">
        <v>44</v>
      </c>
      <c r="D8" s="1">
        <v>3.58</v>
      </c>
    </row>
    <row r="9" spans="1:4" ht="17.399999999999999" x14ac:dyDescent="0.3">
      <c r="A9" s="3" t="s">
        <v>12</v>
      </c>
      <c r="B9" s="1">
        <v>26.9</v>
      </c>
      <c r="C9" s="1">
        <v>30.4</v>
      </c>
      <c r="D9" s="1">
        <v>21.9</v>
      </c>
    </row>
    <row r="10" spans="1:4" ht="17.399999999999999" x14ac:dyDescent="0.3">
      <c r="A10" s="3" t="s">
        <v>4</v>
      </c>
      <c r="C10" s="1">
        <v>0.93300000000000005</v>
      </c>
      <c r="D10" s="1">
        <v>0.93300000000000005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B8152-282D-074A-8FFB-A874EA42D921}">
  <dimension ref="A1:D10"/>
  <sheetViews>
    <sheetView workbookViewId="0">
      <selection activeCell="A12" sqref="A12"/>
    </sheetView>
  </sheetViews>
  <sheetFormatPr defaultColWidth="10.796875" defaultRowHeight="15.6" x14ac:dyDescent="0.3"/>
  <cols>
    <col min="1" max="16384" width="10.796875" style="4"/>
  </cols>
  <sheetData>
    <row r="1" spans="1:4" ht="17.399999999999999" x14ac:dyDescent="0.3">
      <c r="A1" s="3"/>
      <c r="B1" s="3" t="s">
        <v>0</v>
      </c>
      <c r="C1" s="3" t="s">
        <v>1</v>
      </c>
      <c r="D1" s="3" t="s">
        <v>2</v>
      </c>
    </row>
    <row r="2" spans="1:4" ht="17.399999999999999" x14ac:dyDescent="0.3">
      <c r="A2" s="3" t="s">
        <v>5</v>
      </c>
      <c r="B2" s="3">
        <v>0.66</v>
      </c>
      <c r="C2" s="3">
        <v>0</v>
      </c>
      <c r="D2" s="3">
        <v>0.93</v>
      </c>
    </row>
    <row r="3" spans="1:4" ht="17.399999999999999" x14ac:dyDescent="0.3">
      <c r="A3" s="3" t="s">
        <v>6</v>
      </c>
      <c r="B3" s="3">
        <v>1.75</v>
      </c>
      <c r="C3" s="3">
        <v>1.43</v>
      </c>
      <c r="D3" s="3">
        <v>0.7</v>
      </c>
    </row>
    <row r="4" spans="1:4" ht="17.399999999999999" x14ac:dyDescent="0.3">
      <c r="A4" s="3" t="s">
        <v>7</v>
      </c>
      <c r="B4" s="3">
        <v>2.67</v>
      </c>
      <c r="C4" s="3">
        <v>0.37</v>
      </c>
      <c r="D4" s="3">
        <v>2.1</v>
      </c>
    </row>
    <row r="5" spans="1:4" ht="17.399999999999999" x14ac:dyDescent="0.3">
      <c r="A5" s="3" t="s">
        <v>8</v>
      </c>
      <c r="B5" s="3">
        <v>7.39</v>
      </c>
      <c r="C5" s="3">
        <v>6.06</v>
      </c>
      <c r="D5" s="3">
        <v>5.32</v>
      </c>
    </row>
    <row r="6" spans="1:4" ht="17.399999999999999" x14ac:dyDescent="0.3">
      <c r="A6" s="3" t="s">
        <v>9</v>
      </c>
      <c r="B6" s="3">
        <v>26.2</v>
      </c>
      <c r="C6" s="3">
        <v>34.5</v>
      </c>
      <c r="D6" s="3">
        <v>7.49</v>
      </c>
    </row>
    <row r="7" spans="1:4" ht="17.399999999999999" x14ac:dyDescent="0.3">
      <c r="A7" s="3" t="s">
        <v>10</v>
      </c>
      <c r="B7" s="3">
        <v>3.58</v>
      </c>
      <c r="C7" s="3">
        <v>2.16</v>
      </c>
      <c r="D7" s="3">
        <v>1.43</v>
      </c>
    </row>
    <row r="8" spans="1:4" ht="17.399999999999999" x14ac:dyDescent="0.3">
      <c r="A8" s="3" t="s">
        <v>11</v>
      </c>
      <c r="B8" s="3">
        <v>5.8</v>
      </c>
      <c r="C8" s="3">
        <v>5.84</v>
      </c>
      <c r="D8" s="3">
        <v>4.04</v>
      </c>
    </row>
    <row r="9" spans="1:4" ht="17.399999999999999" x14ac:dyDescent="0.3">
      <c r="A9" s="3" t="s">
        <v>12</v>
      </c>
      <c r="B9" s="3">
        <v>5.4</v>
      </c>
      <c r="C9" s="3">
        <v>2.65</v>
      </c>
      <c r="D9" s="3">
        <v>3.18</v>
      </c>
    </row>
    <row r="10" spans="1:4" ht="17.399999999999999" x14ac:dyDescent="0.3">
      <c r="A10" s="3" t="s">
        <v>4</v>
      </c>
      <c r="C10" s="1">
        <v>0.25</v>
      </c>
      <c r="D10" s="1">
        <v>1.5599999999999999E-2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C9878-7C9C-FB4E-B9B2-6E7E81B5382E}">
  <dimension ref="A1:D10"/>
  <sheetViews>
    <sheetView workbookViewId="0">
      <selection activeCell="A11" sqref="A11"/>
    </sheetView>
  </sheetViews>
  <sheetFormatPr defaultColWidth="10.796875" defaultRowHeight="15.6" x14ac:dyDescent="0.3"/>
  <cols>
    <col min="1" max="16384" width="10.796875" style="4"/>
  </cols>
  <sheetData>
    <row r="1" spans="1:4" ht="17.399999999999999" x14ac:dyDescent="0.3">
      <c r="A1" s="3"/>
      <c r="B1" s="3" t="s">
        <v>0</v>
      </c>
      <c r="C1" s="3" t="s">
        <v>1</v>
      </c>
      <c r="D1" s="3" t="s">
        <v>2</v>
      </c>
    </row>
    <row r="2" spans="1:4" ht="17.399999999999999" x14ac:dyDescent="0.3">
      <c r="A2" s="3" t="s">
        <v>5</v>
      </c>
      <c r="B2" s="3">
        <v>7.64</v>
      </c>
      <c r="C2" s="3">
        <v>10.4</v>
      </c>
      <c r="D2" s="3">
        <v>10.5</v>
      </c>
    </row>
    <row r="3" spans="1:4" ht="17.399999999999999" x14ac:dyDescent="0.3">
      <c r="A3" s="3" t="s">
        <v>6</v>
      </c>
      <c r="B3" s="3">
        <v>9.4700000000000006</v>
      </c>
      <c r="C3" s="3">
        <v>12.6</v>
      </c>
      <c r="D3" s="3">
        <v>15.4</v>
      </c>
    </row>
    <row r="4" spans="1:4" ht="17.399999999999999" x14ac:dyDescent="0.3">
      <c r="A4" s="3" t="s">
        <v>7</v>
      </c>
      <c r="B4" s="3">
        <v>9.6300000000000008</v>
      </c>
      <c r="C4" s="3">
        <v>6.25</v>
      </c>
      <c r="D4" s="3">
        <v>34.4</v>
      </c>
    </row>
    <row r="5" spans="1:4" ht="17.399999999999999" x14ac:dyDescent="0.3">
      <c r="A5" s="3" t="s">
        <v>8</v>
      </c>
      <c r="B5" s="3">
        <v>28.9</v>
      </c>
      <c r="C5" s="3">
        <v>27.5</v>
      </c>
      <c r="D5" s="3">
        <v>23.8</v>
      </c>
    </row>
    <row r="6" spans="1:4" ht="17.399999999999999" x14ac:dyDescent="0.3">
      <c r="A6" s="3" t="s">
        <v>9</v>
      </c>
      <c r="B6" s="3">
        <v>25</v>
      </c>
      <c r="C6" s="3">
        <v>25</v>
      </c>
      <c r="D6" s="3">
        <v>21.1</v>
      </c>
    </row>
    <row r="7" spans="1:4" ht="17.399999999999999" x14ac:dyDescent="0.3">
      <c r="A7" s="3" t="s">
        <v>10</v>
      </c>
      <c r="B7" s="3">
        <v>2.17</v>
      </c>
      <c r="C7" s="3">
        <v>7.91</v>
      </c>
      <c r="D7" s="3"/>
    </row>
    <row r="8" spans="1:4" ht="17.399999999999999" x14ac:dyDescent="0.3">
      <c r="A8" s="3" t="s">
        <v>11</v>
      </c>
      <c r="B8" s="3">
        <v>10.8</v>
      </c>
      <c r="C8" s="3">
        <v>12.2</v>
      </c>
      <c r="D8" s="3"/>
    </row>
    <row r="9" spans="1:4" ht="17.399999999999999" x14ac:dyDescent="0.3">
      <c r="A9" s="3" t="s">
        <v>12</v>
      </c>
      <c r="B9" s="3">
        <v>13.3</v>
      </c>
      <c r="C9" s="3">
        <v>14.9</v>
      </c>
      <c r="D9" s="3">
        <v>12.7</v>
      </c>
    </row>
    <row r="10" spans="1:4" ht="17.399999999999999" x14ac:dyDescent="0.3">
      <c r="A10" s="3" t="s">
        <v>4</v>
      </c>
      <c r="C10" s="1">
        <v>0.30959999999999999</v>
      </c>
      <c r="D10" s="1">
        <v>0.6875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C6D68-2112-2E45-B510-FDF8D50DDC07}">
  <dimension ref="A1:D10"/>
  <sheetViews>
    <sheetView workbookViewId="0">
      <selection activeCell="D12" sqref="D12"/>
    </sheetView>
  </sheetViews>
  <sheetFormatPr defaultColWidth="11.19921875" defaultRowHeight="15.6" x14ac:dyDescent="0.3"/>
  <sheetData>
    <row r="1" spans="1:4" ht="17.399999999999999" x14ac:dyDescent="0.3">
      <c r="A1" s="2"/>
      <c r="B1" s="2" t="s">
        <v>0</v>
      </c>
      <c r="C1" s="2" t="s">
        <v>1</v>
      </c>
      <c r="D1" s="2" t="s">
        <v>2</v>
      </c>
    </row>
    <row r="2" spans="1:4" ht="17.399999999999999" x14ac:dyDescent="0.3">
      <c r="A2" s="3" t="s">
        <v>5</v>
      </c>
      <c r="B2" s="1">
        <v>2.4</v>
      </c>
      <c r="C2" s="1">
        <v>5.97</v>
      </c>
      <c r="D2" s="1">
        <v>7.26</v>
      </c>
    </row>
    <row r="3" spans="1:4" ht="17.399999999999999" x14ac:dyDescent="0.3">
      <c r="A3" s="3" t="s">
        <v>6</v>
      </c>
      <c r="B3" s="1">
        <v>0.84</v>
      </c>
      <c r="C3" s="1">
        <v>1.73</v>
      </c>
      <c r="D3" s="1">
        <v>1.82</v>
      </c>
    </row>
    <row r="4" spans="1:4" ht="17.399999999999999" x14ac:dyDescent="0.3">
      <c r="A4" s="3" t="s">
        <v>7</v>
      </c>
      <c r="B4" s="1">
        <v>0.53</v>
      </c>
      <c r="C4" s="1">
        <v>0.18</v>
      </c>
      <c r="D4" s="1">
        <v>2.37</v>
      </c>
    </row>
    <row r="5" spans="1:4" ht="17.399999999999999" x14ac:dyDescent="0.3">
      <c r="A5" s="3" t="s">
        <v>8</v>
      </c>
      <c r="B5" s="1">
        <v>1.68</v>
      </c>
      <c r="C5" s="1">
        <v>5.0599999999999996</v>
      </c>
      <c r="D5" s="1">
        <v>0.84</v>
      </c>
    </row>
    <row r="6" spans="1:4" ht="17.399999999999999" x14ac:dyDescent="0.3">
      <c r="A6" s="3" t="s">
        <v>9</v>
      </c>
      <c r="B6" s="1">
        <v>6.98</v>
      </c>
      <c r="C6" s="1">
        <v>6.56</v>
      </c>
      <c r="D6" s="1">
        <v>3.07</v>
      </c>
    </row>
    <row r="7" spans="1:4" ht="17.399999999999999" x14ac:dyDescent="0.3">
      <c r="A7" s="3" t="s">
        <v>10</v>
      </c>
      <c r="B7" s="1">
        <v>0.69</v>
      </c>
      <c r="C7" s="1">
        <v>2.88</v>
      </c>
      <c r="D7" s="1">
        <v>0.89</v>
      </c>
    </row>
    <row r="8" spans="1:4" ht="17.399999999999999" x14ac:dyDescent="0.3">
      <c r="A8" s="3" t="s">
        <v>11</v>
      </c>
      <c r="B8" s="1">
        <v>0.23</v>
      </c>
      <c r="C8" s="1">
        <v>0.35</v>
      </c>
      <c r="D8" s="1">
        <v>0.41</v>
      </c>
    </row>
    <row r="9" spans="1:4" ht="17.399999999999999" x14ac:dyDescent="0.3">
      <c r="A9" s="3" t="s">
        <v>12</v>
      </c>
      <c r="B9" s="1">
        <v>0.72</v>
      </c>
      <c r="C9" s="1">
        <v>0.41</v>
      </c>
      <c r="D9" s="1">
        <v>0.27</v>
      </c>
    </row>
    <row r="10" spans="1:4" ht="17.399999999999999" x14ac:dyDescent="0.3">
      <c r="A10" s="3" t="s">
        <v>4</v>
      </c>
      <c r="C10" s="1">
        <v>0.25</v>
      </c>
      <c r="D10" s="1">
        <v>0.64059999999999995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CFB68-472B-D343-8B8F-BA05A91BB3FF}">
  <dimension ref="A1:D12"/>
  <sheetViews>
    <sheetView workbookViewId="0">
      <selection activeCell="D12" sqref="D12"/>
    </sheetView>
  </sheetViews>
  <sheetFormatPr defaultColWidth="11.19921875" defaultRowHeight="15.6" x14ac:dyDescent="0.3"/>
  <sheetData>
    <row r="1" spans="1:4" ht="17.399999999999999" x14ac:dyDescent="0.3">
      <c r="A1" s="2"/>
      <c r="B1" s="2" t="s">
        <v>0</v>
      </c>
      <c r="C1" s="2" t="s">
        <v>1</v>
      </c>
      <c r="D1" s="2" t="s">
        <v>2</v>
      </c>
    </row>
    <row r="2" spans="1:4" ht="17.399999999999999" x14ac:dyDescent="0.3">
      <c r="A2" s="3" t="s">
        <v>5</v>
      </c>
      <c r="B2" s="1">
        <v>13.5</v>
      </c>
      <c r="C2" s="1">
        <v>9.6999999999999993</v>
      </c>
      <c r="D2" s="1">
        <v>24.1</v>
      </c>
    </row>
    <row r="3" spans="1:4" ht="17.399999999999999" x14ac:dyDescent="0.3">
      <c r="A3" s="3" t="s">
        <v>6</v>
      </c>
      <c r="B3" s="1">
        <v>9.02</v>
      </c>
      <c r="C3" s="1">
        <v>12.8</v>
      </c>
      <c r="D3" s="1">
        <v>13.9</v>
      </c>
    </row>
    <row r="4" spans="1:4" ht="17.399999999999999" x14ac:dyDescent="0.3">
      <c r="A4" s="3" t="s">
        <v>7</v>
      </c>
      <c r="B4" s="1">
        <v>2.14</v>
      </c>
      <c r="C4" s="1">
        <v>0.74</v>
      </c>
      <c r="D4" s="1">
        <v>5.23</v>
      </c>
    </row>
    <row r="5" spans="1:4" ht="17.399999999999999" x14ac:dyDescent="0.3">
      <c r="A5" s="3" t="s">
        <v>8</v>
      </c>
      <c r="B5" s="1">
        <v>12.3</v>
      </c>
      <c r="C5" s="1">
        <v>11.2</v>
      </c>
      <c r="D5" s="1">
        <v>9.7100000000000009</v>
      </c>
    </row>
    <row r="6" spans="1:4" ht="17.399999999999999" x14ac:dyDescent="0.3">
      <c r="A6" s="3" t="s">
        <v>9</v>
      </c>
      <c r="B6" s="1">
        <v>9.23</v>
      </c>
      <c r="C6" s="1">
        <v>10.6</v>
      </c>
      <c r="D6" s="1">
        <v>6.45</v>
      </c>
    </row>
    <row r="7" spans="1:4" ht="17.399999999999999" x14ac:dyDescent="0.3">
      <c r="A7" s="3" t="s">
        <v>10</v>
      </c>
      <c r="B7" s="1">
        <v>2.2599999999999998</v>
      </c>
      <c r="C7" s="1">
        <v>3.6</v>
      </c>
      <c r="D7" s="1">
        <v>7.38</v>
      </c>
    </row>
    <row r="8" spans="1:4" ht="17.399999999999999" x14ac:dyDescent="0.3">
      <c r="A8" s="3" t="s">
        <v>11</v>
      </c>
      <c r="B8" s="1">
        <v>1.1100000000000001</v>
      </c>
      <c r="C8" s="1">
        <v>0.59</v>
      </c>
      <c r="D8" s="1">
        <v>1.24</v>
      </c>
    </row>
    <row r="9" spans="1:4" ht="17.399999999999999" x14ac:dyDescent="0.3">
      <c r="A9" s="3" t="s">
        <v>12</v>
      </c>
      <c r="B9" s="1">
        <v>1.08</v>
      </c>
      <c r="C9" s="1">
        <v>1.63</v>
      </c>
      <c r="D9" s="1">
        <v>1.33</v>
      </c>
    </row>
    <row r="10" spans="1:4" ht="17.399999999999999" x14ac:dyDescent="0.3">
      <c r="A10" s="3" t="s">
        <v>4</v>
      </c>
      <c r="C10" s="1">
        <v>1</v>
      </c>
      <c r="D10" s="1">
        <v>0.1484</v>
      </c>
    </row>
    <row r="12" spans="1:4" ht="17.399999999999999" x14ac:dyDescent="0.3">
      <c r="C12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F72D-1FE4-C14F-AC3F-80D8A6A3CE7C}">
  <dimension ref="A1:D10"/>
  <sheetViews>
    <sheetView workbookViewId="0">
      <selection activeCell="E10" sqref="E10"/>
    </sheetView>
  </sheetViews>
  <sheetFormatPr defaultColWidth="11.19921875" defaultRowHeight="15.6" x14ac:dyDescent="0.3"/>
  <sheetData>
    <row r="1" spans="1:4" ht="17.399999999999999" x14ac:dyDescent="0.3">
      <c r="A1" s="2"/>
      <c r="B1" s="2" t="s">
        <v>0</v>
      </c>
      <c r="C1" s="2" t="s">
        <v>1</v>
      </c>
      <c r="D1" s="2" t="s">
        <v>2</v>
      </c>
    </row>
    <row r="2" spans="1:4" ht="17.399999999999999" x14ac:dyDescent="0.3">
      <c r="A2" s="3" t="s">
        <v>5</v>
      </c>
      <c r="B2" s="1">
        <v>0.2</v>
      </c>
      <c r="C2" s="1">
        <v>3.81</v>
      </c>
      <c r="D2" s="1">
        <v>6.22</v>
      </c>
    </row>
    <row r="3" spans="1:4" ht="17.399999999999999" x14ac:dyDescent="0.3">
      <c r="A3" s="3" t="s">
        <v>6</v>
      </c>
      <c r="B3" s="1">
        <v>5.51</v>
      </c>
      <c r="C3" s="1">
        <v>6.16</v>
      </c>
      <c r="D3" s="1">
        <v>3.77</v>
      </c>
    </row>
    <row r="4" spans="1:4" ht="17.399999999999999" x14ac:dyDescent="0.3">
      <c r="A4" s="3" t="s">
        <v>7</v>
      </c>
      <c r="B4" s="1">
        <v>0.54</v>
      </c>
      <c r="C4" s="1">
        <v>1.1399999999999999</v>
      </c>
      <c r="D4" s="1">
        <v>0.96</v>
      </c>
    </row>
    <row r="5" spans="1:4" ht="17.399999999999999" x14ac:dyDescent="0.3">
      <c r="A5" s="3" t="s">
        <v>8</v>
      </c>
      <c r="B5" s="1">
        <v>11.1</v>
      </c>
      <c r="C5" s="1">
        <v>6.09</v>
      </c>
      <c r="D5" s="1">
        <v>7.08</v>
      </c>
    </row>
    <row r="6" spans="1:4" ht="17.399999999999999" x14ac:dyDescent="0.3">
      <c r="A6" s="3" t="s">
        <v>9</v>
      </c>
      <c r="B6" s="1">
        <v>3.65</v>
      </c>
      <c r="C6" s="1">
        <v>4.75</v>
      </c>
      <c r="D6" s="1">
        <v>3.1</v>
      </c>
    </row>
    <row r="7" spans="1:4" ht="17.399999999999999" x14ac:dyDescent="0.3">
      <c r="A7" s="3" t="s">
        <v>10</v>
      </c>
      <c r="B7" s="1">
        <v>5.81</v>
      </c>
      <c r="C7" s="1">
        <v>3.95</v>
      </c>
      <c r="D7" s="1">
        <v>3.39</v>
      </c>
    </row>
    <row r="8" spans="1:4" ht="17.399999999999999" x14ac:dyDescent="0.3">
      <c r="A8" s="3" t="s">
        <v>11</v>
      </c>
      <c r="B8" s="1">
        <v>0.13</v>
      </c>
      <c r="C8" s="1">
        <v>7.5999999999999998E-2</v>
      </c>
      <c r="D8" s="1">
        <v>0.34</v>
      </c>
    </row>
    <row r="9" spans="1:4" ht="17.399999999999999" x14ac:dyDescent="0.3">
      <c r="A9" s="3" t="s">
        <v>12</v>
      </c>
      <c r="B9" s="1">
        <v>11.4</v>
      </c>
      <c r="C9" s="1">
        <v>17.899999999999999</v>
      </c>
      <c r="D9" s="1">
        <v>11.6</v>
      </c>
    </row>
    <row r="10" spans="1:4" ht="17.399999999999999" x14ac:dyDescent="0.3">
      <c r="A10" s="3" t="s">
        <v>4</v>
      </c>
      <c r="C10" s="1">
        <v>0.54690000000000005</v>
      </c>
      <c r="D10" s="1">
        <v>0.64059999999999995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9B301-7B88-2C48-8C4F-F29E19588004}">
  <dimension ref="A1:D10"/>
  <sheetViews>
    <sheetView workbookViewId="0">
      <selection activeCell="E10" sqref="E10"/>
    </sheetView>
  </sheetViews>
  <sheetFormatPr defaultColWidth="11.19921875" defaultRowHeight="15.6" x14ac:dyDescent="0.3"/>
  <sheetData>
    <row r="1" spans="1:4" ht="17.399999999999999" x14ac:dyDescent="0.3">
      <c r="A1" s="2"/>
      <c r="B1" s="2" t="s">
        <v>0</v>
      </c>
      <c r="C1" s="2" t="s">
        <v>1</v>
      </c>
      <c r="D1" s="2" t="s">
        <v>2</v>
      </c>
    </row>
    <row r="2" spans="1:4" ht="17.399999999999999" x14ac:dyDescent="0.3">
      <c r="A2" s="3" t="s">
        <v>5</v>
      </c>
      <c r="B2" s="1">
        <v>8.02</v>
      </c>
      <c r="C2" s="1">
        <v>8.57</v>
      </c>
      <c r="D2" s="1">
        <v>5.58</v>
      </c>
    </row>
    <row r="3" spans="1:4" ht="17.399999999999999" x14ac:dyDescent="0.3">
      <c r="A3" s="3" t="s">
        <v>6</v>
      </c>
      <c r="B3" s="1">
        <v>13.6</v>
      </c>
      <c r="C3" s="1">
        <v>12.4</v>
      </c>
      <c r="D3" s="1">
        <v>10.6</v>
      </c>
    </row>
    <row r="4" spans="1:4" ht="17.399999999999999" x14ac:dyDescent="0.3">
      <c r="A4" s="3" t="s">
        <v>7</v>
      </c>
      <c r="B4" s="1">
        <v>9.73</v>
      </c>
      <c r="C4" s="1">
        <v>15</v>
      </c>
      <c r="D4" s="1">
        <v>22.5</v>
      </c>
    </row>
    <row r="5" spans="1:4" ht="17.399999999999999" x14ac:dyDescent="0.3">
      <c r="A5" s="3" t="s">
        <v>8</v>
      </c>
      <c r="B5" s="1">
        <v>70.400000000000006</v>
      </c>
      <c r="C5" s="1">
        <v>71.5</v>
      </c>
      <c r="D5" s="1">
        <v>58.1</v>
      </c>
    </row>
    <row r="6" spans="1:4" ht="17.399999999999999" x14ac:dyDescent="0.3">
      <c r="A6" s="3" t="s">
        <v>9</v>
      </c>
      <c r="B6" s="1">
        <v>73.599999999999994</v>
      </c>
      <c r="C6" s="1">
        <v>80.5</v>
      </c>
      <c r="D6" s="1">
        <v>60.8</v>
      </c>
    </row>
    <row r="7" spans="1:4" ht="17.399999999999999" x14ac:dyDescent="0.3">
      <c r="A7" s="3" t="s">
        <v>10</v>
      </c>
      <c r="B7" s="1">
        <v>33.799999999999997</v>
      </c>
      <c r="C7" s="1">
        <v>27</v>
      </c>
      <c r="D7" s="1">
        <v>19</v>
      </c>
    </row>
    <row r="8" spans="1:4" ht="17.399999999999999" x14ac:dyDescent="0.3">
      <c r="A8" s="3" t="s">
        <v>11</v>
      </c>
      <c r="B8" s="1">
        <v>44.8</v>
      </c>
      <c r="C8" s="1">
        <v>29.7</v>
      </c>
      <c r="D8" s="1">
        <v>47</v>
      </c>
    </row>
    <row r="9" spans="1:4" ht="17.399999999999999" x14ac:dyDescent="0.3">
      <c r="A9" s="3" t="s">
        <v>12</v>
      </c>
      <c r="B9" s="1">
        <v>26.8</v>
      </c>
      <c r="C9" s="1">
        <v>30.6</v>
      </c>
      <c r="D9" s="1">
        <v>28.4</v>
      </c>
    </row>
    <row r="10" spans="1:4" ht="17.399999999999999" x14ac:dyDescent="0.3">
      <c r="A10" s="3" t="s">
        <v>4</v>
      </c>
      <c r="C10" s="1">
        <v>0.94530000000000003</v>
      </c>
      <c r="D10" s="1">
        <v>0.25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0C863-7715-1643-9275-1BC9C61EAE95}">
  <dimension ref="A1:D10"/>
  <sheetViews>
    <sheetView workbookViewId="0">
      <selection activeCell="A11" sqref="A11"/>
    </sheetView>
  </sheetViews>
  <sheetFormatPr defaultColWidth="10.796875" defaultRowHeight="15.6" x14ac:dyDescent="0.3"/>
  <cols>
    <col min="1" max="16384" width="10.796875" style="4"/>
  </cols>
  <sheetData>
    <row r="1" spans="1:4" ht="17.399999999999999" x14ac:dyDescent="0.3">
      <c r="A1" s="3"/>
      <c r="B1" s="3" t="s">
        <v>0</v>
      </c>
      <c r="C1" s="3" t="s">
        <v>1</v>
      </c>
      <c r="D1" s="3" t="s">
        <v>2</v>
      </c>
    </row>
    <row r="2" spans="1:4" ht="17.399999999999999" x14ac:dyDescent="0.3">
      <c r="A2" s="3" t="s">
        <v>5</v>
      </c>
      <c r="B2" s="3">
        <v>21.6</v>
      </c>
      <c r="C2" s="3">
        <v>28.6</v>
      </c>
      <c r="D2" s="3">
        <v>25</v>
      </c>
    </row>
    <row r="3" spans="1:4" ht="17.399999999999999" x14ac:dyDescent="0.3">
      <c r="A3" s="3" t="s">
        <v>6</v>
      </c>
      <c r="B3" s="3">
        <v>30.8</v>
      </c>
      <c r="C3" s="3">
        <v>31.3</v>
      </c>
      <c r="D3" s="3">
        <v>33.799999999999997</v>
      </c>
    </row>
    <row r="4" spans="1:4" ht="17.399999999999999" x14ac:dyDescent="0.3">
      <c r="A4" s="3" t="s">
        <v>7</v>
      </c>
      <c r="B4" s="3">
        <v>16.8</v>
      </c>
      <c r="C4" s="3">
        <v>16.8</v>
      </c>
      <c r="D4" s="3">
        <v>10.5</v>
      </c>
    </row>
    <row r="5" spans="1:4" ht="17.399999999999999" x14ac:dyDescent="0.3">
      <c r="A5" s="3" t="s">
        <v>8</v>
      </c>
      <c r="B5" s="3">
        <v>74.400000000000006</v>
      </c>
      <c r="C5" s="3">
        <v>79.400000000000006</v>
      </c>
      <c r="D5" s="3">
        <v>73.099999999999994</v>
      </c>
    </row>
    <row r="6" spans="1:4" ht="17.399999999999999" x14ac:dyDescent="0.3">
      <c r="A6" s="3" t="s">
        <v>9</v>
      </c>
      <c r="B6" s="3">
        <v>78.8</v>
      </c>
      <c r="C6" s="3">
        <v>80.099999999999994</v>
      </c>
      <c r="D6" s="3">
        <v>72.8</v>
      </c>
    </row>
    <row r="7" spans="1:4" ht="17.399999999999999" x14ac:dyDescent="0.3">
      <c r="A7" s="3" t="s">
        <v>10</v>
      </c>
      <c r="B7" s="3">
        <v>7.48</v>
      </c>
      <c r="C7" s="3">
        <v>14.5</v>
      </c>
      <c r="D7" s="3" t="s">
        <v>3</v>
      </c>
    </row>
    <row r="8" spans="1:4" ht="17.399999999999999" x14ac:dyDescent="0.3">
      <c r="A8" s="3" t="s">
        <v>11</v>
      </c>
      <c r="B8" s="3">
        <v>23.5</v>
      </c>
      <c r="C8" s="3">
        <v>18.399999999999999</v>
      </c>
      <c r="D8" s="3" t="s">
        <v>3</v>
      </c>
    </row>
    <row r="9" spans="1:4" ht="17.399999999999999" x14ac:dyDescent="0.3">
      <c r="A9" s="3" t="s">
        <v>12</v>
      </c>
      <c r="B9" s="3">
        <v>22.8</v>
      </c>
      <c r="C9" s="3">
        <v>23.1</v>
      </c>
      <c r="D9" s="3">
        <v>20</v>
      </c>
    </row>
    <row r="10" spans="1:4" ht="17.399999999999999" x14ac:dyDescent="0.3">
      <c r="A10" s="3" t="s">
        <v>4</v>
      </c>
      <c r="C10" s="1">
        <v>0.15079999999999999</v>
      </c>
      <c r="D10" s="1">
        <v>0.5625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B21D8-9909-174A-896E-29D0B871A985}">
  <dimension ref="A1:D10"/>
  <sheetViews>
    <sheetView workbookViewId="0">
      <selection activeCell="D12" sqref="D12"/>
    </sheetView>
  </sheetViews>
  <sheetFormatPr defaultColWidth="11.19921875" defaultRowHeight="15.6" x14ac:dyDescent="0.3"/>
  <sheetData>
    <row r="1" spans="1:4" ht="17.399999999999999" x14ac:dyDescent="0.3">
      <c r="A1" s="2"/>
      <c r="B1" s="2" t="s">
        <v>0</v>
      </c>
      <c r="C1" s="2" t="s">
        <v>1</v>
      </c>
      <c r="D1" s="2" t="s">
        <v>2</v>
      </c>
    </row>
    <row r="2" spans="1:4" ht="17.399999999999999" x14ac:dyDescent="0.3">
      <c r="A2" s="3" t="s">
        <v>5</v>
      </c>
      <c r="B2" s="1">
        <v>11.4</v>
      </c>
      <c r="C2" s="1">
        <v>33.299999999999997</v>
      </c>
      <c r="D2" s="1">
        <v>48.4</v>
      </c>
    </row>
    <row r="3" spans="1:4" ht="17.399999999999999" x14ac:dyDescent="0.3">
      <c r="A3" s="3" t="s">
        <v>6</v>
      </c>
      <c r="B3" s="1">
        <v>8.4</v>
      </c>
      <c r="C3" s="1">
        <v>16.2</v>
      </c>
      <c r="D3" s="1">
        <v>28.8</v>
      </c>
    </row>
    <row r="4" spans="1:4" ht="17.399999999999999" x14ac:dyDescent="0.3">
      <c r="A4" s="3" t="s">
        <v>7</v>
      </c>
      <c r="B4" s="1">
        <v>0</v>
      </c>
      <c r="C4" s="1">
        <v>1</v>
      </c>
      <c r="D4" s="1">
        <v>0.82</v>
      </c>
    </row>
    <row r="5" spans="1:4" ht="17.399999999999999" x14ac:dyDescent="0.3">
      <c r="A5" s="3" t="s">
        <v>8</v>
      </c>
      <c r="B5" s="1">
        <v>5.89</v>
      </c>
      <c r="C5" s="1">
        <v>10.8</v>
      </c>
      <c r="D5" s="1">
        <v>2.61</v>
      </c>
    </row>
    <row r="6" spans="1:4" ht="17.399999999999999" x14ac:dyDescent="0.3">
      <c r="A6" s="3" t="s">
        <v>9</v>
      </c>
      <c r="B6" s="1">
        <v>15.8</v>
      </c>
      <c r="C6" s="1">
        <v>15.6</v>
      </c>
      <c r="D6" s="1">
        <v>10.4</v>
      </c>
    </row>
    <row r="7" spans="1:4" ht="17.399999999999999" x14ac:dyDescent="0.3">
      <c r="A7" s="3" t="s">
        <v>10</v>
      </c>
      <c r="B7" s="1">
        <v>2.1</v>
      </c>
      <c r="C7" s="1">
        <v>0.66</v>
      </c>
      <c r="D7" s="1">
        <v>1.95</v>
      </c>
    </row>
    <row r="8" spans="1:4" ht="17.399999999999999" x14ac:dyDescent="0.3">
      <c r="A8" s="3" t="s">
        <v>11</v>
      </c>
      <c r="B8" s="1">
        <v>0.45</v>
      </c>
      <c r="C8" s="1">
        <v>0.35</v>
      </c>
      <c r="D8" s="1">
        <v>1.45</v>
      </c>
    </row>
    <row r="9" spans="1:4" ht="17.399999999999999" x14ac:dyDescent="0.3">
      <c r="A9" s="3" t="s">
        <v>12</v>
      </c>
      <c r="B9" s="1">
        <v>0.67</v>
      </c>
      <c r="C9" s="1">
        <v>2.2400000000000002</v>
      </c>
      <c r="D9" s="1">
        <v>0.44</v>
      </c>
    </row>
    <row r="10" spans="1:4" ht="17.399999999999999" x14ac:dyDescent="0.3">
      <c r="A10" s="3" t="s">
        <v>4</v>
      </c>
      <c r="C10" s="1">
        <v>0.1484</v>
      </c>
      <c r="D10" s="1">
        <v>0.64059999999999995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9BB00-A9F6-E141-8858-21FED024493A}">
  <dimension ref="A1:D10"/>
  <sheetViews>
    <sheetView workbookViewId="0">
      <selection activeCell="D12" sqref="D12"/>
    </sheetView>
  </sheetViews>
  <sheetFormatPr defaultColWidth="11.19921875" defaultRowHeight="15.6" x14ac:dyDescent="0.3"/>
  <sheetData>
    <row r="1" spans="1:4" ht="17.399999999999999" x14ac:dyDescent="0.3">
      <c r="A1" s="2"/>
      <c r="B1" s="2" t="s">
        <v>0</v>
      </c>
      <c r="C1" s="2" t="s">
        <v>1</v>
      </c>
      <c r="D1" s="2" t="s">
        <v>2</v>
      </c>
    </row>
    <row r="2" spans="1:4" ht="17.399999999999999" x14ac:dyDescent="0.3">
      <c r="A2" s="3" t="s">
        <v>5</v>
      </c>
      <c r="B2" s="1">
        <v>0.6</v>
      </c>
      <c r="C2" s="1">
        <v>0.95</v>
      </c>
      <c r="D2" s="1">
        <v>1.2</v>
      </c>
    </row>
    <row r="3" spans="1:4" ht="17.399999999999999" x14ac:dyDescent="0.3">
      <c r="A3" s="3" t="s">
        <v>6</v>
      </c>
      <c r="B3" s="1">
        <v>3.03</v>
      </c>
      <c r="C3" s="1">
        <v>2.93</v>
      </c>
      <c r="D3" s="1">
        <v>2.74</v>
      </c>
    </row>
    <row r="4" spans="1:4" ht="17.399999999999999" x14ac:dyDescent="0.3">
      <c r="A4" s="3" t="s">
        <v>7</v>
      </c>
      <c r="B4" s="1">
        <v>0</v>
      </c>
      <c r="C4" s="1">
        <v>0.28999999999999998</v>
      </c>
      <c r="D4" s="1">
        <v>0.33</v>
      </c>
    </row>
    <row r="5" spans="1:4" ht="17.399999999999999" x14ac:dyDescent="0.3">
      <c r="A5" s="3" t="s">
        <v>8</v>
      </c>
      <c r="B5" s="1">
        <v>0.92</v>
      </c>
      <c r="C5" s="1">
        <v>0.89</v>
      </c>
      <c r="D5" s="1">
        <v>0.54</v>
      </c>
    </row>
    <row r="6" spans="1:4" ht="17.399999999999999" x14ac:dyDescent="0.3">
      <c r="A6" s="3" t="s">
        <v>9</v>
      </c>
      <c r="B6" s="1">
        <v>0.64</v>
      </c>
      <c r="C6" s="1">
        <v>0.44</v>
      </c>
      <c r="D6" s="1">
        <v>0.37</v>
      </c>
    </row>
    <row r="7" spans="1:4" ht="17.399999999999999" x14ac:dyDescent="0.3">
      <c r="A7" s="3" t="s">
        <v>10</v>
      </c>
      <c r="B7" s="1">
        <v>3.07</v>
      </c>
      <c r="C7" s="1">
        <v>0.66</v>
      </c>
      <c r="D7" s="1">
        <v>7</v>
      </c>
    </row>
    <row r="8" spans="1:4" ht="17.399999999999999" x14ac:dyDescent="0.3">
      <c r="A8" s="3" t="s">
        <v>11</v>
      </c>
      <c r="B8" s="1">
        <v>0.13</v>
      </c>
      <c r="C8" s="1">
        <v>7.5999999999999998E-2</v>
      </c>
      <c r="D8" s="1">
        <v>0.11</v>
      </c>
    </row>
    <row r="9" spans="1:4" ht="17.399999999999999" x14ac:dyDescent="0.3">
      <c r="A9" s="3" t="s">
        <v>12</v>
      </c>
      <c r="B9" s="1">
        <v>4.03</v>
      </c>
      <c r="C9" s="1">
        <v>1.49</v>
      </c>
      <c r="D9" s="1">
        <v>0.89</v>
      </c>
    </row>
    <row r="10" spans="1:4" ht="17.399999999999999" x14ac:dyDescent="0.3">
      <c r="A10" s="3" t="s">
        <v>4</v>
      </c>
      <c r="C10" s="1">
        <v>0.38279999999999997</v>
      </c>
      <c r="D10" s="1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24A4C-9EAF-EC41-856D-944890640FFA}">
  <dimension ref="A1:D10"/>
  <sheetViews>
    <sheetView workbookViewId="0">
      <selection activeCell="E21" sqref="E21"/>
    </sheetView>
  </sheetViews>
  <sheetFormatPr defaultColWidth="11.19921875" defaultRowHeight="15.6" x14ac:dyDescent="0.3"/>
  <sheetData>
    <row r="1" spans="1:4" ht="17.399999999999999" x14ac:dyDescent="0.3">
      <c r="A1" s="2"/>
      <c r="B1" s="2" t="s">
        <v>0</v>
      </c>
      <c r="C1" s="2" t="s">
        <v>1</v>
      </c>
      <c r="D1" s="2" t="s">
        <v>2</v>
      </c>
    </row>
    <row r="2" spans="1:4" ht="17.399999999999999" x14ac:dyDescent="0.3">
      <c r="A2" s="3" t="s">
        <v>5</v>
      </c>
      <c r="B2" s="1">
        <v>1.2</v>
      </c>
      <c r="C2" s="1">
        <v>0</v>
      </c>
      <c r="D2" s="1">
        <v>0.08</v>
      </c>
    </row>
    <row r="3" spans="1:4" ht="17.399999999999999" x14ac:dyDescent="0.3">
      <c r="A3" s="3" t="s">
        <v>6</v>
      </c>
      <c r="B3" s="1">
        <v>0.65</v>
      </c>
      <c r="C3" s="1">
        <v>0.17</v>
      </c>
      <c r="D3" s="1">
        <v>0.23</v>
      </c>
    </row>
    <row r="4" spans="1:4" ht="17.399999999999999" x14ac:dyDescent="0.3">
      <c r="A4" s="3" t="s">
        <v>7</v>
      </c>
      <c r="B4" s="1">
        <v>74.099999999999994</v>
      </c>
      <c r="C4" s="1">
        <v>83.5</v>
      </c>
      <c r="D4" s="1">
        <v>16.7</v>
      </c>
    </row>
    <row r="5" spans="1:4" ht="17.399999999999999" x14ac:dyDescent="0.3">
      <c r="A5" s="3" t="s">
        <v>8</v>
      </c>
      <c r="B5" s="1">
        <v>62.9</v>
      </c>
      <c r="C5" s="1">
        <v>81.5</v>
      </c>
      <c r="D5" s="1">
        <v>60.7</v>
      </c>
    </row>
    <row r="6" spans="1:4" ht="17.399999999999999" x14ac:dyDescent="0.3">
      <c r="A6" s="3" t="s">
        <v>9</v>
      </c>
      <c r="B6" s="1">
        <v>86.8</v>
      </c>
      <c r="C6" s="1">
        <v>85.9</v>
      </c>
      <c r="D6" s="1">
        <v>82.5</v>
      </c>
    </row>
    <row r="7" spans="1:4" ht="17.399999999999999" x14ac:dyDescent="0.3">
      <c r="A7" s="3" t="s">
        <v>10</v>
      </c>
      <c r="B7" s="1">
        <v>37.700000000000003</v>
      </c>
      <c r="C7" s="1">
        <v>57.9</v>
      </c>
      <c r="D7" s="1">
        <v>29</v>
      </c>
    </row>
    <row r="8" spans="1:4" ht="17.399999999999999" x14ac:dyDescent="0.3">
      <c r="A8" s="3" t="s">
        <v>11</v>
      </c>
      <c r="B8" s="1">
        <v>47.9</v>
      </c>
      <c r="C8" s="1">
        <v>46.5</v>
      </c>
      <c r="D8" s="1">
        <v>53</v>
      </c>
    </row>
    <row r="9" spans="1:4" ht="17.399999999999999" x14ac:dyDescent="0.3">
      <c r="A9" s="3" t="s">
        <v>12</v>
      </c>
      <c r="B9" s="1">
        <v>17.399999999999999</v>
      </c>
      <c r="C9" s="1">
        <v>17.2</v>
      </c>
      <c r="D9" s="1">
        <v>14.2</v>
      </c>
    </row>
    <row r="10" spans="1:4" ht="17.399999999999999" x14ac:dyDescent="0.3">
      <c r="A10" s="3" t="s">
        <v>4</v>
      </c>
      <c r="C10" s="1">
        <v>0.74219999999999997</v>
      </c>
      <c r="D10" s="1">
        <v>0.1094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3BEBB-1370-43B9-ACED-F4759E38532B}">
  <dimension ref="A1:D33"/>
  <sheetViews>
    <sheetView tabSelected="1" topLeftCell="A19" workbookViewId="0">
      <selection activeCell="E36" sqref="E36"/>
    </sheetView>
  </sheetViews>
  <sheetFormatPr defaultRowHeight="15.6" x14ac:dyDescent="0.3"/>
  <sheetData>
    <row r="1" spans="1:4" x14ac:dyDescent="0.3">
      <c r="A1" s="5" t="s">
        <v>13</v>
      </c>
      <c r="B1" s="6" t="s">
        <v>14</v>
      </c>
      <c r="C1" s="7" t="s">
        <v>13</v>
      </c>
      <c r="D1" s="7" t="s">
        <v>14</v>
      </c>
    </row>
    <row r="2" spans="1:4" x14ac:dyDescent="0.3">
      <c r="A2" s="8" t="s">
        <v>15</v>
      </c>
      <c r="B2" s="9">
        <v>338.27</v>
      </c>
      <c r="C2" s="8" t="s">
        <v>15</v>
      </c>
      <c r="D2" s="10">
        <f>AVERAGE(B2:B3)</f>
        <v>352.32</v>
      </c>
    </row>
    <row r="3" spans="1:4" x14ac:dyDescent="0.3">
      <c r="A3" s="8" t="s">
        <v>15</v>
      </c>
      <c r="B3" s="9">
        <v>366.37</v>
      </c>
      <c r="C3" s="11" t="s">
        <v>16</v>
      </c>
      <c r="D3" s="10">
        <f>AVERAGE(B4:B5)</f>
        <v>304.21000000000004</v>
      </c>
    </row>
    <row r="4" spans="1:4" x14ac:dyDescent="0.3">
      <c r="A4" s="11" t="s">
        <v>16</v>
      </c>
      <c r="B4" s="9">
        <v>305.69</v>
      </c>
      <c r="C4" s="8" t="s">
        <v>17</v>
      </c>
      <c r="D4" s="10">
        <f>AVERAGE(B6:B7)</f>
        <v>461.85</v>
      </c>
    </row>
    <row r="5" spans="1:4" x14ac:dyDescent="0.3">
      <c r="A5" s="11" t="s">
        <v>16</v>
      </c>
      <c r="B5" s="9">
        <v>302.73</v>
      </c>
      <c r="C5" s="11" t="s">
        <v>18</v>
      </c>
      <c r="D5" s="10">
        <f>AVERAGE(B8:B9)</f>
        <v>446.17</v>
      </c>
    </row>
    <row r="6" spans="1:4" x14ac:dyDescent="0.3">
      <c r="A6" s="12" t="s">
        <v>17</v>
      </c>
      <c r="B6" s="9">
        <v>483.97</v>
      </c>
      <c r="C6" s="8" t="s">
        <v>19</v>
      </c>
      <c r="D6" s="10">
        <f>AVERAGE(B10:B11)</f>
        <v>207.345</v>
      </c>
    </row>
    <row r="7" spans="1:4" x14ac:dyDescent="0.3">
      <c r="A7" s="12" t="s">
        <v>17</v>
      </c>
      <c r="B7" s="9">
        <v>439.73</v>
      </c>
      <c r="C7" s="11" t="s">
        <v>20</v>
      </c>
      <c r="D7" s="10">
        <f>AVERAGE(B12:B13)</f>
        <v>178.38</v>
      </c>
    </row>
    <row r="8" spans="1:4" x14ac:dyDescent="0.3">
      <c r="A8" s="11" t="s">
        <v>18</v>
      </c>
      <c r="B8" s="9">
        <v>445.87</v>
      </c>
      <c r="C8" s="8" t="s">
        <v>21</v>
      </c>
      <c r="D8" s="10">
        <f>AVERAGE(B14:B15)</f>
        <v>362.48</v>
      </c>
    </row>
    <row r="9" spans="1:4" x14ac:dyDescent="0.3">
      <c r="A9" s="11" t="s">
        <v>18</v>
      </c>
      <c r="B9" s="9">
        <v>446.47</v>
      </c>
      <c r="C9" s="11" t="s">
        <v>22</v>
      </c>
      <c r="D9" s="10">
        <f>AVERAGE(B16:B17)</f>
        <v>276.96500000000003</v>
      </c>
    </row>
    <row r="10" spans="1:4" x14ac:dyDescent="0.3">
      <c r="A10" s="8" t="s">
        <v>19</v>
      </c>
      <c r="B10" s="9">
        <v>196.64</v>
      </c>
      <c r="C10" s="8" t="s">
        <v>23</v>
      </c>
      <c r="D10" s="10">
        <f>AVERAGE(B18:B19)</f>
        <v>408.59500000000003</v>
      </c>
    </row>
    <row r="11" spans="1:4" x14ac:dyDescent="0.3">
      <c r="A11" s="8" t="s">
        <v>19</v>
      </c>
      <c r="B11" s="9">
        <v>218.05</v>
      </c>
      <c r="C11" s="11" t="s">
        <v>24</v>
      </c>
      <c r="D11" s="10">
        <f>AVERAGE(B20:B21)</f>
        <v>295.08</v>
      </c>
    </row>
    <row r="12" spans="1:4" x14ac:dyDescent="0.3">
      <c r="A12" s="11" t="s">
        <v>20</v>
      </c>
      <c r="B12" s="9">
        <v>180.47</v>
      </c>
      <c r="C12" s="8" t="s">
        <v>25</v>
      </c>
      <c r="D12" s="10">
        <f>AVERAGE(B22:B23)</f>
        <v>663.34500000000003</v>
      </c>
    </row>
    <row r="13" spans="1:4" x14ac:dyDescent="0.3">
      <c r="A13" s="11" t="s">
        <v>20</v>
      </c>
      <c r="B13" s="9">
        <v>176.29</v>
      </c>
      <c r="C13" s="11" t="s">
        <v>26</v>
      </c>
      <c r="D13" s="10">
        <f>AVERAGE(B24:B25)</f>
        <v>624.26</v>
      </c>
    </row>
    <row r="14" spans="1:4" x14ac:dyDescent="0.3">
      <c r="A14" s="8" t="s">
        <v>21</v>
      </c>
      <c r="B14" s="9">
        <v>344.7</v>
      </c>
      <c r="C14" s="13" t="s">
        <v>27</v>
      </c>
      <c r="D14" s="10">
        <f>AVERAGE(B26:B27)</f>
        <v>143.07999999999998</v>
      </c>
    </row>
    <row r="15" spans="1:4" x14ac:dyDescent="0.3">
      <c r="A15" s="8" t="s">
        <v>21</v>
      </c>
      <c r="B15" s="9">
        <v>380.26</v>
      </c>
      <c r="C15" s="13" t="s">
        <v>28</v>
      </c>
      <c r="D15" s="10">
        <f>AVERAGE(B28:B29)</f>
        <v>180.64499999999998</v>
      </c>
    </row>
    <row r="16" spans="1:4" x14ac:dyDescent="0.3">
      <c r="A16" s="11" t="s">
        <v>22</v>
      </c>
      <c r="B16" s="9">
        <v>277.36</v>
      </c>
      <c r="C16" s="13" t="s">
        <v>29</v>
      </c>
      <c r="D16" s="10">
        <f>AVERAGE(B30:B31)</f>
        <v>291.70999999999998</v>
      </c>
    </row>
    <row r="17" spans="1:4" x14ac:dyDescent="0.3">
      <c r="A17" s="11" t="s">
        <v>22</v>
      </c>
      <c r="B17" s="9">
        <v>276.57</v>
      </c>
      <c r="C17" s="13" t="s">
        <v>30</v>
      </c>
      <c r="D17" s="10">
        <f>AVERAGE(B32:B33)</f>
        <v>227.3</v>
      </c>
    </row>
    <row r="18" spans="1:4" x14ac:dyDescent="0.3">
      <c r="A18" s="8" t="s">
        <v>23</v>
      </c>
      <c r="B18" s="14">
        <v>402.27</v>
      </c>
    </row>
    <row r="19" spans="1:4" x14ac:dyDescent="0.3">
      <c r="A19" s="8" t="s">
        <v>23</v>
      </c>
      <c r="B19" s="14">
        <v>414.92</v>
      </c>
    </row>
    <row r="20" spans="1:4" x14ac:dyDescent="0.3">
      <c r="A20" s="11" t="s">
        <v>24</v>
      </c>
      <c r="B20" s="14">
        <v>291.13</v>
      </c>
    </row>
    <row r="21" spans="1:4" x14ac:dyDescent="0.3">
      <c r="A21" s="11" t="s">
        <v>24</v>
      </c>
      <c r="B21" s="14">
        <v>299.02999999999997</v>
      </c>
    </row>
    <row r="22" spans="1:4" x14ac:dyDescent="0.3">
      <c r="A22" s="8" t="s">
        <v>25</v>
      </c>
      <c r="B22" s="14">
        <v>698.13</v>
      </c>
    </row>
    <row r="23" spans="1:4" x14ac:dyDescent="0.3">
      <c r="A23" s="8" t="s">
        <v>25</v>
      </c>
      <c r="B23" s="14">
        <v>628.55999999999995</v>
      </c>
    </row>
    <row r="24" spans="1:4" x14ac:dyDescent="0.3">
      <c r="A24" s="11" t="s">
        <v>26</v>
      </c>
      <c r="B24" s="14">
        <v>617.84</v>
      </c>
    </row>
    <row r="25" spans="1:4" x14ac:dyDescent="0.3">
      <c r="A25" s="11" t="s">
        <v>26</v>
      </c>
      <c r="B25" s="14">
        <v>630.67999999999995</v>
      </c>
    </row>
    <row r="26" spans="1:4" x14ac:dyDescent="0.3">
      <c r="A26" s="13" t="s">
        <v>27</v>
      </c>
      <c r="B26" s="14">
        <v>142.53</v>
      </c>
    </row>
    <row r="27" spans="1:4" x14ac:dyDescent="0.3">
      <c r="A27" s="13" t="s">
        <v>27</v>
      </c>
      <c r="B27" s="14">
        <v>143.63</v>
      </c>
    </row>
    <row r="28" spans="1:4" x14ac:dyDescent="0.3">
      <c r="A28" s="13" t="s">
        <v>28</v>
      </c>
      <c r="B28" s="14">
        <v>182.94</v>
      </c>
    </row>
    <row r="29" spans="1:4" x14ac:dyDescent="0.3">
      <c r="A29" s="13" t="s">
        <v>28</v>
      </c>
      <c r="B29" s="14">
        <v>178.35</v>
      </c>
    </row>
    <row r="30" spans="1:4" x14ac:dyDescent="0.3">
      <c r="A30" s="13" t="s">
        <v>29</v>
      </c>
      <c r="B30" s="14">
        <v>282.70999999999998</v>
      </c>
    </row>
    <row r="31" spans="1:4" x14ac:dyDescent="0.3">
      <c r="A31" s="13" t="s">
        <v>29</v>
      </c>
      <c r="B31" s="14">
        <v>300.70999999999998</v>
      </c>
    </row>
    <row r="32" spans="1:4" x14ac:dyDescent="0.3">
      <c r="A32" s="13" t="s">
        <v>30</v>
      </c>
      <c r="B32" s="14">
        <v>230.81</v>
      </c>
    </row>
    <row r="33" spans="1:2" x14ac:dyDescent="0.3">
      <c r="A33" s="13" t="s">
        <v>30</v>
      </c>
      <c r="B33" s="14">
        <v>223.79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faf88fe-a998-4c5b-93c9-210a11d9a5c2}" enabled="0" method="" siteId="{1faf88fe-a998-4c5b-93c9-210a11d9a5c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Fig5B_5D_Dysfunctional</vt:lpstr>
      <vt:lpstr>Fig5B_5D_Predysfunctional</vt:lpstr>
      <vt:lpstr>Fig5C_5E_GZMB_CD4_Teff</vt:lpstr>
      <vt:lpstr>Fig5C_5E_HLA-DR_CD4_Teff</vt:lpstr>
      <vt:lpstr>Fig5C_5E_Ki67_CD4_Teff</vt:lpstr>
      <vt:lpstr>Fig5C_5E_OX40_CD4_Teff</vt:lpstr>
      <vt:lpstr>Fig5C_5E_41BB_CD8_T</vt:lpstr>
      <vt:lpstr>Fig5C_5E_GZMB_CD8_T</vt:lpstr>
      <vt:lpstr>Fig5C_5E_HLA-DR_CD8_T</vt:lpstr>
      <vt:lpstr>Fig5C_5E_Ki67_CD8_T</vt:lpstr>
      <vt:lpstr>Fig5C_5E_OX40_CD8_T</vt:lpstr>
      <vt:lpstr>Fig5C_5E_PD1_CD8_T</vt:lpstr>
      <vt:lpstr>Fig5F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FU, Hongchang (UNIVERSITY COLLEGE LONDON HOSPITALS NHS FOUNDATION TRUST)</dc:creator>
  <cp:lastModifiedBy>Marcellus Augustine</cp:lastModifiedBy>
  <dcterms:created xsi:type="dcterms:W3CDTF">2024-05-17T16:44:30Z</dcterms:created>
  <dcterms:modified xsi:type="dcterms:W3CDTF">2025-12-04T15:21:46Z</dcterms:modified>
</cp:coreProperties>
</file>